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分总表" sheetId="1" state="visible" r:id="rId1"/>
    <sheet xmlns:r="http://schemas.openxmlformats.org/officeDocument/2006/relationships" name="各题得分对照" sheetId="2" state="visible" r:id="rId2"/>
    <sheet xmlns:r="http://schemas.openxmlformats.org/officeDocument/2006/relationships" name="评分理由" sheetId="3" state="visible" r:id="rId3"/>
    <sheet xmlns:r="http://schemas.openxmlformats.org/officeDocument/2006/relationships" name="严重错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i val="1"/>
      <color rgb="00595959"/>
      <sz val="9"/>
    </font>
    <font>
      <name val="微软雅黑"/>
      <b val="1"/>
      <color rgb="00FFFFFF"/>
      <sz val="10"/>
    </font>
    <font>
      <name val="微软雅黑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6" customWidth="1" min="3" max="3"/>
    <col width="8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8" customWidth="1" min="10" max="10"/>
  </cols>
  <sheetData>
    <row r="1" ht="24" customHeight="1">
      <c r="A1" s="1" t="inlineStr">
        <is>
          <t>siRNA 辅助系统 · 三组真实问答专家评分表</t>
        </is>
      </c>
    </row>
    <row r="2" ht="28" customHeight="1">
      <c r="A2" s="2" t="inlineStr">
        <is>
          <t>维度各0-2分（事实准确/证据支持/需求完成/边界处理），单份满分8；总分=四维之和（公式）。基准：每题核对底表。开发情景评审，非独立未见测试。</t>
        </is>
      </c>
    </row>
    <row r="4">
      <c r="A4" s="3" t="inlineStr">
        <is>
          <t>题号</t>
        </is>
      </c>
      <c r="B4" s="3" t="inlineStr">
        <is>
          <t>情景</t>
        </is>
      </c>
      <c r="C4" s="3" t="inlineStr">
        <is>
          <t>答复</t>
        </is>
      </c>
      <c r="D4" s="3" t="inlineStr">
        <is>
          <t>登记号</t>
        </is>
      </c>
      <c r="E4" s="3" t="inlineStr">
        <is>
          <t>事实准确</t>
        </is>
      </c>
      <c r="F4" s="3" t="inlineStr">
        <is>
          <t>证据支持</t>
        </is>
      </c>
      <c r="G4" s="3" t="inlineStr">
        <is>
          <t>需求完成</t>
        </is>
      </c>
      <c r="H4" s="3" t="inlineStr">
        <is>
          <t>边界处理</t>
        </is>
      </c>
      <c r="I4" s="3" t="inlineStr">
        <is>
          <t>总分(8)</t>
        </is>
      </c>
      <c r="J4" s="3" t="inlineStr">
        <is>
          <t>完成状态</t>
        </is>
      </c>
    </row>
    <row r="5">
      <c r="A5" s="4" t="n">
        <v>1</v>
      </c>
      <c r="B5" s="5" t="inlineStr">
        <is>
          <t>已有试剂完整计算核查</t>
        </is>
      </c>
      <c r="C5" s="4" t="inlineStr">
        <is>
          <t>甲</t>
        </is>
      </c>
      <c r="D5" s="4" t="inlineStr">
        <is>
          <t>A004</t>
        </is>
      </c>
      <c r="E5" s="4" t="n">
        <v>2</v>
      </c>
      <c r="F5" s="4" t="n">
        <v>1</v>
      </c>
      <c r="G5" s="4" t="n">
        <v>1</v>
      </c>
      <c r="H5" s="4" t="n">
        <v>1</v>
      </c>
      <c r="I5" s="4">
        <f>SUM(E5:H5)</f>
        <v/>
      </c>
      <c r="J5" s="6" t="inlineStr">
        <is>
          <t>部分完成</t>
        </is>
      </c>
    </row>
    <row r="6">
      <c r="A6" s="4" t="n">
        <v>1</v>
      </c>
      <c r="B6" s="7" t="n"/>
      <c r="C6" s="4" t="inlineStr">
        <is>
          <t>乙</t>
        </is>
      </c>
      <c r="D6" s="4" t="inlineStr">
        <is>
          <t>A018</t>
        </is>
      </c>
      <c r="E6" s="4" t="n">
        <v>1</v>
      </c>
      <c r="F6" s="4" t="n">
        <v>1</v>
      </c>
      <c r="G6" s="4" t="n">
        <v>0</v>
      </c>
      <c r="H6" s="4" t="n">
        <v>2</v>
      </c>
      <c r="I6" s="4">
        <f>SUM(E6:H6)</f>
        <v/>
      </c>
      <c r="J6" s="6" t="inlineStr">
        <is>
          <t>未交付</t>
        </is>
      </c>
    </row>
    <row r="7">
      <c r="A7" s="8" t="n">
        <v>1</v>
      </c>
      <c r="B7" s="9" t="n"/>
      <c r="C7" s="8" t="inlineStr">
        <is>
          <t>丙</t>
        </is>
      </c>
      <c r="D7" s="8" t="inlineStr">
        <is>
          <t>A026</t>
        </is>
      </c>
      <c r="E7" s="8" t="n">
        <v>2</v>
      </c>
      <c r="F7" s="8" t="n">
        <v>2</v>
      </c>
      <c r="G7" s="8" t="n">
        <v>2</v>
      </c>
      <c r="H7" s="8" t="n">
        <v>2</v>
      </c>
      <c r="I7" s="8">
        <f>SUM(E7:H7)</f>
        <v/>
      </c>
      <c r="J7" s="10" t="inlineStr">
        <is>
          <t>完成</t>
        </is>
      </c>
    </row>
    <row r="8">
      <c r="A8" s="4" t="n">
        <v>2</v>
      </c>
      <c r="B8" s="5" t="inlineStr">
        <is>
          <t>只核对序列与目标参考</t>
        </is>
      </c>
      <c r="C8" s="4" t="inlineStr">
        <is>
          <t>甲</t>
        </is>
      </c>
      <c r="D8" s="4" t="inlineStr">
        <is>
          <t>A007</t>
        </is>
      </c>
      <c r="E8" s="4" t="n">
        <v>2</v>
      </c>
      <c r="F8" s="4" t="n">
        <v>1</v>
      </c>
      <c r="G8" s="4" t="n">
        <v>2</v>
      </c>
      <c r="H8" s="4" t="n">
        <v>2</v>
      </c>
      <c r="I8" s="4">
        <f>SUM(E8:H8)</f>
        <v/>
      </c>
      <c r="J8" s="6" t="inlineStr">
        <is>
          <t>完成</t>
        </is>
      </c>
    </row>
    <row r="9">
      <c r="A9" s="11" t="n">
        <v>2</v>
      </c>
      <c r="B9" s="7" t="n"/>
      <c r="C9" s="11" t="inlineStr">
        <is>
          <t>乙</t>
        </is>
      </c>
      <c r="D9" s="11" t="inlineStr">
        <is>
          <t>A020</t>
        </is>
      </c>
      <c r="E9" s="11" t="n">
        <v>0</v>
      </c>
      <c r="F9" s="11" t="n">
        <v>0</v>
      </c>
      <c r="G9" s="11" t="n">
        <v>1</v>
      </c>
      <c r="H9" s="11" t="n">
        <v>1</v>
      </c>
      <c r="I9" s="11">
        <f>SUM(E9:H9)</f>
        <v/>
      </c>
      <c r="J9" s="12" t="inlineStr">
        <is>
          <t>未交付（坐标全错）</t>
        </is>
      </c>
    </row>
    <row r="10">
      <c r="A10" s="4" t="n">
        <v>2</v>
      </c>
      <c r="B10" s="9" t="n"/>
      <c r="C10" s="4" t="inlineStr">
        <is>
          <t>丙</t>
        </is>
      </c>
      <c r="D10" s="4" t="inlineStr">
        <is>
          <t>A027</t>
        </is>
      </c>
      <c r="E10" s="4" t="n">
        <v>2</v>
      </c>
      <c r="F10" s="4" t="n">
        <v>1</v>
      </c>
      <c r="G10" s="4" t="n">
        <v>2</v>
      </c>
      <c r="H10" s="4" t="n">
        <v>2</v>
      </c>
      <c r="I10" s="4">
        <f>SUM(E10:H10)</f>
        <v/>
      </c>
      <c r="J10" s="6" t="inlineStr">
        <is>
          <t>完成</t>
        </is>
      </c>
    </row>
    <row r="11">
      <c r="A11" s="8" t="n">
        <v>3</v>
      </c>
      <c r="B11" s="5" t="inlineStr">
        <is>
          <t>查询已有分数及含义</t>
        </is>
      </c>
      <c r="C11" s="8" t="inlineStr">
        <is>
          <t>甲</t>
        </is>
      </c>
      <c r="D11" s="8" t="inlineStr">
        <is>
          <t>A013</t>
        </is>
      </c>
      <c r="E11" s="8" t="n">
        <v>2</v>
      </c>
      <c r="F11" s="8" t="n">
        <v>2</v>
      </c>
      <c r="G11" s="8" t="n">
        <v>2</v>
      </c>
      <c r="H11" s="8" t="n">
        <v>2</v>
      </c>
      <c r="I11" s="8">
        <f>SUM(E11:H11)</f>
        <v/>
      </c>
      <c r="J11" s="10" t="inlineStr">
        <is>
          <t>完成</t>
        </is>
      </c>
    </row>
    <row r="12">
      <c r="A12" s="4" t="n">
        <v>3</v>
      </c>
      <c r="B12" s="7" t="n"/>
      <c r="C12" s="4" t="inlineStr">
        <is>
          <t>乙</t>
        </is>
      </c>
      <c r="D12" s="4" t="inlineStr">
        <is>
          <t>A019</t>
        </is>
      </c>
      <c r="E12" s="4" t="n">
        <v>2</v>
      </c>
      <c r="F12" s="4" t="n">
        <v>2</v>
      </c>
      <c r="G12" s="4" t="n">
        <v>2</v>
      </c>
      <c r="H12" s="4" t="n">
        <v>1</v>
      </c>
      <c r="I12" s="4">
        <f>SUM(E12:H12)</f>
        <v/>
      </c>
      <c r="J12" s="6" t="inlineStr">
        <is>
          <t>完成</t>
        </is>
      </c>
    </row>
    <row r="13">
      <c r="A13" s="4" t="n">
        <v>3</v>
      </c>
      <c r="B13" s="9" t="n"/>
      <c r="C13" s="4" t="inlineStr">
        <is>
          <t>丙</t>
        </is>
      </c>
      <c r="D13" s="4" t="inlineStr">
        <is>
          <t>A024</t>
        </is>
      </c>
      <c r="E13" s="4" t="n">
        <v>1</v>
      </c>
      <c r="F13" s="4" t="n">
        <v>1</v>
      </c>
      <c r="G13" s="4" t="n">
        <v>0</v>
      </c>
      <c r="H13" s="4" t="n">
        <v>1</v>
      </c>
      <c r="I13" s="4">
        <f>SUM(E13:H13)</f>
        <v/>
      </c>
      <c r="J13" s="6" t="inlineStr">
        <is>
          <t>未交付</t>
        </is>
      </c>
    </row>
    <row r="14">
      <c r="A14" s="4" t="n">
        <v>4</v>
      </c>
      <c r="B14" s="5" t="inlineStr">
        <is>
          <t>高分与近似匹配警告</t>
        </is>
      </c>
      <c r="C14" s="4" t="inlineStr">
        <is>
          <t>甲</t>
        </is>
      </c>
      <c r="D14" s="4" t="inlineStr">
        <is>
          <t>A002</t>
        </is>
      </c>
      <c r="E14" s="4" t="n">
        <v>2</v>
      </c>
      <c r="F14" s="4" t="n">
        <v>1</v>
      </c>
      <c r="G14" s="4" t="n">
        <v>1</v>
      </c>
      <c r="H14" s="4" t="n">
        <v>1</v>
      </c>
      <c r="I14" s="4">
        <f>SUM(E14:H14)</f>
        <v/>
      </c>
      <c r="J14" s="6" t="inlineStr">
        <is>
          <t>部分完成</t>
        </is>
      </c>
    </row>
    <row r="15">
      <c r="A15" s="8" t="n">
        <v>4</v>
      </c>
      <c r="B15" s="7" t="n"/>
      <c r="C15" s="8" t="inlineStr">
        <is>
          <t>乙</t>
        </is>
      </c>
      <c r="D15" s="8" t="inlineStr">
        <is>
          <t>A005</t>
        </is>
      </c>
      <c r="E15" s="8" t="n">
        <v>2</v>
      </c>
      <c r="F15" s="8" t="n">
        <v>2</v>
      </c>
      <c r="G15" s="8" t="n">
        <v>2</v>
      </c>
      <c r="H15" s="8" t="n">
        <v>2</v>
      </c>
      <c r="I15" s="8">
        <f>SUM(E15:H15)</f>
        <v/>
      </c>
      <c r="J15" s="10" t="inlineStr">
        <is>
          <t>完成</t>
        </is>
      </c>
    </row>
    <row r="16">
      <c r="A16" s="11" t="n">
        <v>4</v>
      </c>
      <c r="B16" s="9" t="n"/>
      <c r="C16" s="11" t="inlineStr">
        <is>
          <t>丙</t>
        </is>
      </c>
      <c r="D16" s="11" t="inlineStr">
        <is>
          <t>A006</t>
        </is>
      </c>
      <c r="E16" s="11" t="n">
        <v>0</v>
      </c>
      <c r="F16" s="11" t="n">
        <v>0</v>
      </c>
      <c r="G16" s="11" t="n">
        <v>0</v>
      </c>
      <c r="H16" s="11" t="n">
        <v>0</v>
      </c>
      <c r="I16" s="11">
        <f>SUM(E16:H16)</f>
        <v/>
      </c>
      <c r="J16" s="12" t="inlineStr">
        <is>
          <t>未交付（严重误导）</t>
        </is>
      </c>
    </row>
    <row r="17">
      <c r="A17" s="4" t="n">
        <v>5</v>
      </c>
      <c r="B17" s="5" t="inlineStr">
        <is>
          <t>同一问题追加新要求</t>
        </is>
      </c>
      <c r="C17" s="4" t="inlineStr">
        <is>
          <t>甲</t>
        </is>
      </c>
      <c r="D17" s="4" t="inlineStr">
        <is>
          <t>A001</t>
        </is>
      </c>
      <c r="E17" s="4" t="n">
        <v>1</v>
      </c>
      <c r="F17" s="4" t="n">
        <v>1</v>
      </c>
      <c r="G17" s="4" t="n">
        <v>0</v>
      </c>
      <c r="H17" s="4" t="n">
        <v>1</v>
      </c>
      <c r="I17" s="4">
        <f>SUM(E17:H17)</f>
        <v/>
      </c>
      <c r="J17" s="6" t="inlineStr">
        <is>
          <t>未交付</t>
        </is>
      </c>
    </row>
    <row r="18">
      <c r="A18" s="4" t="n">
        <v>5</v>
      </c>
      <c r="B18" s="7" t="n"/>
      <c r="C18" s="4" t="inlineStr">
        <is>
          <t>乙</t>
        </is>
      </c>
      <c r="D18" s="4" t="inlineStr">
        <is>
          <t>A014</t>
        </is>
      </c>
      <c r="E18" s="4" t="n">
        <v>2</v>
      </c>
      <c r="F18" s="4" t="n">
        <v>1</v>
      </c>
      <c r="G18" s="4" t="n">
        <v>2</v>
      </c>
      <c r="H18" s="4" t="n">
        <v>1</v>
      </c>
      <c r="I18" s="4">
        <f>SUM(E18:H18)</f>
        <v/>
      </c>
      <c r="J18" s="6" t="inlineStr">
        <is>
          <t>完成</t>
        </is>
      </c>
    </row>
    <row r="19">
      <c r="A19" s="8" t="n">
        <v>5</v>
      </c>
      <c r="B19" s="9" t="n"/>
      <c r="C19" s="8" t="inlineStr">
        <is>
          <t>丙</t>
        </is>
      </c>
      <c r="D19" s="8" t="inlineStr">
        <is>
          <t>A021</t>
        </is>
      </c>
      <c r="E19" s="8" t="n">
        <v>2</v>
      </c>
      <c r="F19" s="8" t="n">
        <v>2</v>
      </c>
      <c r="G19" s="8" t="n">
        <v>2</v>
      </c>
      <c r="H19" s="8" t="n">
        <v>2</v>
      </c>
      <c r="I19" s="8">
        <f>SUM(E19:H19)</f>
        <v/>
      </c>
      <c r="J19" s="10" t="inlineStr">
        <is>
          <t>完成</t>
        </is>
      </c>
    </row>
    <row r="20">
      <c r="A20" s="4" t="n">
        <v>6</v>
      </c>
      <c r="B20" s="5" t="inlineStr">
        <is>
          <t>订购记录无明确链角色</t>
        </is>
      </c>
      <c r="C20" s="4" t="inlineStr">
        <is>
          <t>甲</t>
        </is>
      </c>
      <c r="D20" s="4" t="inlineStr">
        <is>
          <t>A012</t>
        </is>
      </c>
      <c r="E20" s="4" t="n">
        <v>1</v>
      </c>
      <c r="F20" s="4" t="n">
        <v>2</v>
      </c>
      <c r="G20" s="4" t="n">
        <v>2</v>
      </c>
      <c r="H20" s="4" t="n">
        <v>2</v>
      </c>
      <c r="I20" s="4">
        <f>SUM(E20:H20)</f>
        <v/>
      </c>
      <c r="J20" s="6" t="inlineStr">
        <is>
          <t>完成</t>
        </is>
      </c>
    </row>
    <row r="21">
      <c r="A21" s="4" t="n">
        <v>6</v>
      </c>
      <c r="B21" s="7" t="n"/>
      <c r="C21" s="4" t="inlineStr">
        <is>
          <t>乙</t>
        </is>
      </c>
      <c r="D21" s="4" t="inlineStr">
        <is>
          <t>A016</t>
        </is>
      </c>
      <c r="E21" s="4" t="n">
        <v>1</v>
      </c>
      <c r="F21" s="4" t="n">
        <v>1</v>
      </c>
      <c r="G21" s="4" t="n">
        <v>1</v>
      </c>
      <c r="H21" s="4" t="n">
        <v>1</v>
      </c>
      <c r="I21" s="4">
        <f>SUM(E21:H21)</f>
        <v/>
      </c>
      <c r="J21" s="6" t="inlineStr">
        <is>
          <t>部分完成</t>
        </is>
      </c>
    </row>
    <row r="22">
      <c r="A22" s="4" t="n">
        <v>6</v>
      </c>
      <c r="B22" s="9" t="n"/>
      <c r="C22" s="4" t="inlineStr">
        <is>
          <t>丙</t>
        </is>
      </c>
      <c r="D22" s="4" t="inlineStr">
        <is>
          <t>A017</t>
        </is>
      </c>
      <c r="E22" s="4" t="n">
        <v>2</v>
      </c>
      <c r="F22" s="4" t="n">
        <v>1</v>
      </c>
      <c r="G22" s="4" t="n">
        <v>2</v>
      </c>
      <c r="H22" s="4" t="n">
        <v>1</v>
      </c>
      <c r="I22" s="4">
        <f>SUM(E22:H22)</f>
        <v/>
      </c>
      <c r="J22" s="6" t="inlineStr">
        <is>
          <t>完成</t>
        </is>
      </c>
    </row>
    <row r="23">
      <c r="A23" s="4" t="n">
        <v>7</v>
      </c>
      <c r="B23" s="5" t="inlineStr">
        <is>
          <t>改序列能否沿用旧分数</t>
        </is>
      </c>
      <c r="C23" s="4" t="inlineStr">
        <is>
          <t>甲</t>
        </is>
      </c>
      <c r="D23" s="4" t="inlineStr">
        <is>
          <t>A008</t>
        </is>
      </c>
      <c r="E23" s="4" t="n">
        <v>2</v>
      </c>
      <c r="F23" s="4" t="n">
        <v>1</v>
      </c>
      <c r="G23" s="4" t="n">
        <v>2</v>
      </c>
      <c r="H23" s="4" t="n">
        <v>2</v>
      </c>
      <c r="I23" s="4">
        <f>SUM(E23:H23)</f>
        <v/>
      </c>
      <c r="J23" s="6" t="inlineStr">
        <is>
          <t>完成</t>
        </is>
      </c>
    </row>
    <row r="24">
      <c r="A24" s="4" t="n">
        <v>7</v>
      </c>
      <c r="B24" s="7" t="n"/>
      <c r="C24" s="4" t="inlineStr">
        <is>
          <t>乙</t>
        </is>
      </c>
      <c r="D24" s="4" t="inlineStr">
        <is>
          <t>A010</t>
        </is>
      </c>
      <c r="E24" s="4" t="n">
        <v>2</v>
      </c>
      <c r="F24" s="4" t="n">
        <v>1</v>
      </c>
      <c r="G24" s="4" t="n">
        <v>1</v>
      </c>
      <c r="H24" s="4" t="n">
        <v>1</v>
      </c>
      <c r="I24" s="4">
        <f>SUM(E24:H24)</f>
        <v/>
      </c>
      <c r="J24" s="6" t="inlineStr">
        <is>
          <t>部分完成</t>
        </is>
      </c>
    </row>
    <row r="25">
      <c r="A25" s="4" t="n">
        <v>7</v>
      </c>
      <c r="B25" s="9" t="n"/>
      <c r="C25" s="4" t="inlineStr">
        <is>
          <t>丙</t>
        </is>
      </c>
      <c r="D25" s="4" t="inlineStr">
        <is>
          <t>A023</t>
        </is>
      </c>
      <c r="E25" s="4" t="n">
        <v>1</v>
      </c>
      <c r="F25" s="4" t="n">
        <v>1</v>
      </c>
      <c r="G25" s="4" t="n">
        <v>0</v>
      </c>
      <c r="H25" s="4" t="n">
        <v>1</v>
      </c>
      <c r="I25" s="4">
        <f>SUM(E25:H25)</f>
        <v/>
      </c>
      <c r="J25" s="6" t="inlineStr">
        <is>
          <t>未交付</t>
        </is>
      </c>
    </row>
    <row r="26">
      <c r="A26" s="4" t="n">
        <v>8</v>
      </c>
      <c r="B26" s="5" t="inlineStr">
        <is>
          <t>坐标声明是否与序列一致</t>
        </is>
      </c>
      <c r="C26" s="4" t="inlineStr">
        <is>
          <t>甲</t>
        </is>
      </c>
      <c r="D26" s="4" t="inlineStr">
        <is>
          <t>A009</t>
        </is>
      </c>
      <c r="E26" s="4" t="n">
        <v>2</v>
      </c>
      <c r="F26" s="4" t="n">
        <v>1</v>
      </c>
      <c r="G26" s="4" t="n">
        <v>2</v>
      </c>
      <c r="H26" s="4" t="n">
        <v>2</v>
      </c>
      <c r="I26" s="4">
        <f>SUM(E26:H26)</f>
        <v/>
      </c>
      <c r="J26" s="6" t="inlineStr">
        <is>
          <t>完成</t>
        </is>
      </c>
    </row>
    <row r="27">
      <c r="A27" s="4" t="n">
        <v>8</v>
      </c>
      <c r="B27" s="7" t="n"/>
      <c r="C27" s="4" t="inlineStr">
        <is>
          <t>乙</t>
        </is>
      </c>
      <c r="D27" s="4" t="inlineStr">
        <is>
          <t>A015</t>
        </is>
      </c>
      <c r="E27" s="4" t="n">
        <v>1</v>
      </c>
      <c r="F27" s="4" t="n">
        <v>1</v>
      </c>
      <c r="G27" s="4" t="n">
        <v>1</v>
      </c>
      <c r="H27" s="4" t="n">
        <v>1</v>
      </c>
      <c r="I27" s="4">
        <f>SUM(E27:H27)</f>
        <v/>
      </c>
      <c r="J27" s="6" t="inlineStr">
        <is>
          <t>部分完成</t>
        </is>
      </c>
    </row>
    <row r="28">
      <c r="A28" s="4" t="n">
        <v>8</v>
      </c>
      <c r="B28" s="9" t="n"/>
      <c r="C28" s="4" t="inlineStr">
        <is>
          <t>丙</t>
        </is>
      </c>
      <c r="D28" s="4" t="inlineStr">
        <is>
          <t>A022</t>
        </is>
      </c>
      <c r="E28" s="4" t="n">
        <v>2</v>
      </c>
      <c r="F28" s="4" t="n">
        <v>1</v>
      </c>
      <c r="G28" s="4" t="n">
        <v>2</v>
      </c>
      <c r="H28" s="4" t="n">
        <v>2</v>
      </c>
      <c r="I28" s="4">
        <f>SUM(E28:H28)</f>
        <v/>
      </c>
      <c r="J28" s="6" t="inlineStr">
        <is>
          <t>完成</t>
        </is>
      </c>
    </row>
    <row r="29">
      <c r="A29" s="4" t="n">
        <v>9</v>
      </c>
      <c r="B29" s="5" t="inlineStr">
        <is>
          <t>缺本次表达表时如何处理</t>
        </is>
      </c>
      <c r="C29" s="4" t="inlineStr">
        <is>
          <t>甲</t>
        </is>
      </c>
      <c r="D29" s="4" t="inlineStr">
        <is>
          <t>A003</t>
        </is>
      </c>
      <c r="E29" s="4" t="n">
        <v>1</v>
      </c>
      <c r="F29" s="4" t="n">
        <v>1</v>
      </c>
      <c r="G29" s="4" t="n">
        <v>1</v>
      </c>
      <c r="H29" s="4" t="n">
        <v>1</v>
      </c>
      <c r="I29" s="4">
        <f>SUM(E29:H29)</f>
        <v/>
      </c>
      <c r="J29" s="6" t="inlineStr">
        <is>
          <t>部分完成</t>
        </is>
      </c>
    </row>
    <row r="30">
      <c r="A30" s="8" t="n">
        <v>9</v>
      </c>
      <c r="B30" s="7" t="n"/>
      <c r="C30" s="8" t="inlineStr">
        <is>
          <t>乙</t>
        </is>
      </c>
      <c r="D30" s="8" t="inlineStr">
        <is>
          <t>A011</t>
        </is>
      </c>
      <c r="E30" s="8" t="n">
        <v>2</v>
      </c>
      <c r="F30" s="8" t="n">
        <v>2</v>
      </c>
      <c r="G30" s="8" t="n">
        <v>2</v>
      </c>
      <c r="H30" s="8" t="n">
        <v>2</v>
      </c>
      <c r="I30" s="8">
        <f>SUM(E30:H30)</f>
        <v/>
      </c>
      <c r="J30" s="10" t="inlineStr">
        <is>
          <t>完成</t>
        </is>
      </c>
    </row>
    <row r="31">
      <c r="A31" s="8" t="n">
        <v>9</v>
      </c>
      <c r="B31" s="9" t="n"/>
      <c r="C31" s="8" t="inlineStr">
        <is>
          <t>丙</t>
        </is>
      </c>
      <c r="D31" s="8" t="inlineStr">
        <is>
          <t>A025</t>
        </is>
      </c>
      <c r="E31" s="8" t="n">
        <v>2</v>
      </c>
      <c r="F31" s="8" t="n">
        <v>2</v>
      </c>
      <c r="G31" s="8" t="n">
        <v>2</v>
      </c>
      <c r="H31" s="8" t="n">
        <v>2</v>
      </c>
      <c r="I31" s="8">
        <f>SUM(E31:H31)</f>
        <v/>
      </c>
      <c r="J31" s="10" t="inlineStr">
        <is>
          <t>完成</t>
        </is>
      </c>
    </row>
  </sheetData>
  <mergeCells count="11">
    <mergeCell ref="A1:J1"/>
    <mergeCell ref="B17:B19"/>
    <mergeCell ref="B23:B25"/>
    <mergeCell ref="B20:B22"/>
    <mergeCell ref="B26:B28"/>
    <mergeCell ref="B14:B16"/>
    <mergeCell ref="B29:B31"/>
    <mergeCell ref="B11:B13"/>
    <mergeCell ref="B8:B10"/>
    <mergeCell ref="A2:J2"/>
    <mergeCell ref="B5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8" customWidth="1" min="3" max="3"/>
    <col width="8" customWidth="1" min="4" max="4"/>
    <col width="8" customWidth="1" min="5" max="5"/>
  </cols>
  <sheetData>
    <row r="1">
      <c r="A1" s="13" t="inlineStr">
        <is>
          <t>各题答复总分对照（满分8）</t>
        </is>
      </c>
    </row>
    <row r="3">
      <c r="A3" s="3" t="inlineStr">
        <is>
          <t>题号</t>
        </is>
      </c>
      <c r="B3" s="3" t="inlineStr">
        <is>
          <t>情景</t>
        </is>
      </c>
      <c r="C3" s="3" t="inlineStr">
        <is>
          <t>甲</t>
        </is>
      </c>
      <c r="D3" s="3" t="inlineStr">
        <is>
          <t>乙</t>
        </is>
      </c>
      <c r="E3" s="3" t="inlineStr">
        <is>
          <t>丙</t>
        </is>
      </c>
    </row>
    <row r="4">
      <c r="A4" s="4" t="n">
        <v>1</v>
      </c>
      <c r="B4" s="6" t="inlineStr">
        <is>
          <t>已有试剂完整计算核查</t>
        </is>
      </c>
      <c r="C4" s="4" t="n">
        <v>5</v>
      </c>
      <c r="D4" s="4" t="n">
        <v>4</v>
      </c>
      <c r="E4" s="8" t="n">
        <v>8</v>
      </c>
    </row>
    <row r="5">
      <c r="A5" s="4" t="n">
        <v>2</v>
      </c>
      <c r="B5" s="6" t="inlineStr">
        <is>
          <t>只核对序列与目标参考</t>
        </is>
      </c>
      <c r="C5" s="8" t="n">
        <v>7</v>
      </c>
      <c r="D5" s="4" t="n">
        <v>2</v>
      </c>
      <c r="E5" s="8" t="n">
        <v>7</v>
      </c>
    </row>
    <row r="6">
      <c r="A6" s="4" t="n">
        <v>3</v>
      </c>
      <c r="B6" s="6" t="inlineStr">
        <is>
          <t>查询已有分数及含义</t>
        </is>
      </c>
      <c r="C6" s="8" t="n">
        <v>8</v>
      </c>
      <c r="D6" s="4" t="n">
        <v>7</v>
      </c>
      <c r="E6" s="4" t="n">
        <v>3</v>
      </c>
    </row>
    <row r="7">
      <c r="A7" s="4" t="n">
        <v>4</v>
      </c>
      <c r="B7" s="6" t="inlineStr">
        <is>
          <t>高分与近似匹配警告</t>
        </is>
      </c>
      <c r="C7" s="4" t="n">
        <v>5</v>
      </c>
      <c r="D7" s="8" t="n">
        <v>8</v>
      </c>
      <c r="E7" s="4" t="n">
        <v>0</v>
      </c>
    </row>
    <row r="8">
      <c r="A8" s="4" t="n">
        <v>5</v>
      </c>
      <c r="B8" s="6" t="inlineStr">
        <is>
          <t>同一问题追加新要求</t>
        </is>
      </c>
      <c r="C8" s="4" t="n">
        <v>3</v>
      </c>
      <c r="D8" s="4" t="n">
        <v>6</v>
      </c>
      <c r="E8" s="8" t="n">
        <v>8</v>
      </c>
    </row>
    <row r="9">
      <c r="A9" s="4" t="n">
        <v>6</v>
      </c>
      <c r="B9" s="6" t="inlineStr">
        <is>
          <t>订购记录无明确链角色</t>
        </is>
      </c>
      <c r="C9" s="8" t="n">
        <v>7</v>
      </c>
      <c r="D9" s="4" t="n">
        <v>4</v>
      </c>
      <c r="E9" s="4" t="n">
        <v>6</v>
      </c>
    </row>
    <row r="10">
      <c r="A10" s="4" t="n">
        <v>7</v>
      </c>
      <c r="B10" s="6" t="inlineStr">
        <is>
          <t>改序列能否沿用旧分数</t>
        </is>
      </c>
      <c r="C10" s="8" t="n">
        <v>7</v>
      </c>
      <c r="D10" s="4" t="n">
        <v>5</v>
      </c>
      <c r="E10" s="4" t="n">
        <v>3</v>
      </c>
    </row>
    <row r="11">
      <c r="A11" s="4" t="n">
        <v>8</v>
      </c>
      <c r="B11" s="6" t="inlineStr">
        <is>
          <t>坐标声明是否与序列一致</t>
        </is>
      </c>
      <c r="C11" s="8" t="n">
        <v>7</v>
      </c>
      <c r="D11" s="4" t="n">
        <v>4</v>
      </c>
      <c r="E11" s="8" t="n">
        <v>7</v>
      </c>
    </row>
    <row r="12">
      <c r="A12" s="4" t="n">
        <v>9</v>
      </c>
      <c r="B12" s="6" t="inlineStr">
        <is>
          <t>缺本次表达表时如何处理</t>
        </is>
      </c>
      <c r="C12" s="4" t="n">
        <v>3</v>
      </c>
      <c r="D12" s="8" t="n">
        <v>8</v>
      </c>
      <c r="E12" s="8" t="n">
        <v>8</v>
      </c>
    </row>
    <row r="13">
      <c r="B13" s="14" t="inlineStr">
        <is>
          <t>均值</t>
        </is>
      </c>
      <c r="C13" s="14">
        <f>AVERAGE(C4:C12)</f>
        <v/>
      </c>
      <c r="D13" s="14">
        <f>AVERAGE(D4:D12)</f>
        <v/>
      </c>
      <c r="E13" s="14">
        <f>AVERAGE(E4:E12)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75" customWidth="1" min="3" max="3"/>
  </cols>
  <sheetData>
    <row r="1">
      <c r="A1" s="13" t="inlineStr">
        <is>
          <t>逐份答复评分理由</t>
        </is>
      </c>
    </row>
    <row r="3">
      <c r="A3" s="3" t="inlineStr">
        <is>
          <t>题号</t>
        </is>
      </c>
      <c r="B3" s="3" t="inlineStr">
        <is>
          <t>登记号</t>
        </is>
      </c>
      <c r="C3" s="3" t="inlineStr">
        <is>
          <t>评分理由（关键得分/扣分点）</t>
        </is>
      </c>
    </row>
    <row r="4">
      <c r="A4" s="4" t="n">
        <v>1</v>
      </c>
      <c r="B4" s="4" t="inlineStr">
        <is>
          <t>甲 A004</t>
        </is>
      </c>
      <c r="C4" s="6" t="inlineStr">
        <is>
          <t>数值全对（分数1.12、位点3540、去重2839、可映射2836、1695/1595）；但证据无文件SHA256，缺坐标1439-1457、未映射3、未保留两行原文、未交付报告。</t>
        </is>
      </c>
    </row>
    <row r="5">
      <c r="A5" s="4" t="n">
        <v>1</v>
      </c>
      <c r="B5" s="4" t="inlineStr">
        <is>
          <t>乙 A018</t>
        </is>
      </c>
      <c r="C5" s="6" t="inlineStr">
        <is>
          <t>序列与假设复述正确、无编造，但坐标/分数/seed/表达全部“暂未生成”；诚实说明无工具与假设性质，边界处理好。</t>
        </is>
      </c>
    </row>
    <row r="6">
      <c r="A6" s="4" t="n">
        <v>1</v>
      </c>
      <c r="B6" s="4" t="inlineStr">
        <is>
          <t>丙 A026</t>
        </is>
      </c>
      <c r="C6" s="6" t="inlineStr">
        <is>
          <t>坐标、覆盖、原始精度分数、SHA256、全部计数与未映射齐全，限制声明系统完整。</t>
        </is>
      </c>
    </row>
    <row r="7">
      <c r="A7" s="4" t="n">
        <v>2</v>
      </c>
      <c r="B7" s="4" t="inlineStr">
        <is>
          <t>甲 A007</t>
        </is>
      </c>
      <c r="C7" s="6" t="inlineStr">
        <is>
          <t>9条坐标、覆盖及23/19区分全部正确；证据为verify_target但无文件细节。</t>
        </is>
      </c>
    </row>
    <row r="8">
      <c r="A8" s="4" t="n">
        <v>2</v>
      </c>
      <c r="B8" s="4" t="inlineStr">
        <is>
          <t>乙 A020</t>
        </is>
      </c>
      <c r="C8" s="6" t="inlineStr">
        <is>
          <t>严重错误：9条19nt坐标以23nt窗口起点错位（应后移2位未做），系统性全错，却以“实际匹配坐标”呈现。</t>
        </is>
      </c>
    </row>
    <row r="9">
      <c r="A9" s="4" t="n">
        <v>2</v>
      </c>
      <c r="B9" s="4" t="inlineStr">
        <is>
          <t>丙 A027</t>
        </is>
      </c>
      <c r="C9" s="6" t="inlineStr">
        <is>
          <t>9条坐标全部正确，明确“坐标来自verify_target、不用23nt坐标代替”，边界到位。</t>
        </is>
      </c>
    </row>
    <row r="10">
      <c r="A10" s="4" t="n">
        <v>3</v>
      </c>
      <c r="B10" s="4" t="inlineStr">
        <is>
          <t>甲 A013</t>
        </is>
      </c>
      <c r="C10" s="6" t="inlineStr">
        <is>
          <t>分数原始精度、SHA256、19nt核心与57nt上下文绑定、非敲低且不可换算完整；含模型序列纠错记录。</t>
        </is>
      </c>
    </row>
    <row r="11">
      <c r="A11" s="4" t="n">
        <v>3</v>
      </c>
      <c r="B11" s="4" t="inlineStr">
        <is>
          <t>乙 A019</t>
        </is>
      </c>
      <c r="C11" s="6" t="inlineStr">
        <is>
          <t>分数、坐标、绑定、SHA256完整；但仅说“分数不是敲低率”，未直接回答能否换算。</t>
        </is>
      </c>
    </row>
    <row r="12">
      <c r="A12" s="4" t="n">
        <v>3</v>
      </c>
      <c r="B12" s="4" t="inlineStr">
        <is>
          <t>丙 A024</t>
        </is>
      </c>
      <c r="C12" s="6" t="inlineStr">
        <is>
          <t>诚实报告可见输入中无分数、正确说明非敲低；核心数值未交付。</t>
        </is>
      </c>
    </row>
    <row r="13">
      <c r="A13" s="4" t="n">
        <v>4</v>
      </c>
      <c r="B13" s="4" t="inlineStr">
        <is>
          <t>甲 A002</t>
        </is>
      </c>
      <c r="C13" s="6" t="inlineStr">
        <is>
          <t>分数高低（3535&gt;3499）、seed/表达、IRGM警告与建议均有；但缺近匹配窗口、查询序列及坐标1724-1742。</t>
        </is>
      </c>
    </row>
    <row r="14">
      <c r="A14" s="4" t="n">
        <v>4</v>
      </c>
      <c r="B14" s="4" t="inlineStr">
        <is>
          <t>乙 A005</t>
        </is>
      </c>
      <c r="C14" s="6" t="inlineStr">
        <is>
          <t>分数原始精度、SHA256、近匹配全要素（窗口/序列/坐标/IRGM/1错配）、并列警告与规则名单完整。</t>
        </is>
      </c>
    </row>
    <row r="15">
      <c r="A15" s="4" t="n">
        <v>4</v>
      </c>
      <c r="B15" s="4" t="inlineStr">
        <is>
          <t>丙 A006</t>
        </is>
      </c>
      <c r="C15" s="6" t="inlineStr">
        <is>
          <t>方向性错误：把“需人工核查的近匹配警告”说成“独立审核PASS、无脱靶证据”，原件无PASS；且无分数比较。</t>
        </is>
      </c>
    </row>
    <row r="16">
      <c r="A16" s="4" t="n">
        <v>5</v>
      </c>
      <c r="B16" s="4" t="inlineStr">
        <is>
          <t>甲 A001</t>
        </is>
      </c>
      <c r="C16" s="6" t="inlineStr">
        <is>
          <t>首轮仅给23nt窗口坐标、缺19nt实际坐标；次轮仅说非敲低、缺分数值；范围控制与诚实性尚可。</t>
        </is>
      </c>
    </row>
    <row r="17">
      <c r="A17" s="4" t="n">
        <v>5</v>
      </c>
      <c r="B17" s="4" t="inlineStr">
        <is>
          <t>乙 A014</t>
        </is>
      </c>
      <c r="C17" s="6" t="inlineStr">
        <is>
          <t>首轮坐标3501-3519正确、次轮分数及复用/新增清楚；证据有“X月X日”占位符、无文件细节。</t>
        </is>
      </c>
    </row>
    <row r="18">
      <c r="A18" s="4" t="n">
        <v>5</v>
      </c>
      <c r="B18" s="4" t="inlineStr">
        <is>
          <t>丙 A021</t>
        </is>
      </c>
      <c r="C18" s="6" t="inlineStr">
        <is>
          <t>两轮坐标、原始精度分数、SHA256完整，复用/重新核对/新增标注最清晰。</t>
        </is>
      </c>
    </row>
    <row r="19">
      <c r="A19" s="4" t="n">
        <v>6</v>
      </c>
      <c r="B19" s="4" t="inlineStr">
        <is>
          <t>甲 A012</t>
        </is>
      </c>
      <c r="C19" s="6" t="inlineStr">
        <is>
          <t>首轮判定正确但第二行抄错（多1个U）；次轮坐标、覆盖、原始精度分数、SHA256完整。</t>
        </is>
      </c>
    </row>
    <row r="20">
      <c r="A20" s="4" t="n">
        <v>6</v>
      </c>
      <c r="B20" s="4" t="inlineStr">
        <is>
          <t>乙 A016</t>
        </is>
      </c>
      <c r="C20" s="6" t="inlineStr">
        <is>
          <t>首轮已知/未知清楚；次轮未交付坐标与分数值（称暂无可更新）。</t>
        </is>
      </c>
    </row>
    <row r="21">
      <c r="A21" s="4" t="n">
        <v>6</v>
      </c>
      <c r="B21" s="4" t="inlineStr">
        <is>
          <t>丙 A017</t>
        </is>
      </c>
      <c r="C21" s="6" t="inlineStr">
        <is>
          <t>首轮未确认项清楚、次轮坐标覆盖（18/20）与分数交付；证据无文件细节。</t>
        </is>
      </c>
    </row>
    <row r="22">
      <c r="A22" s="4" t="n">
        <v>7</v>
      </c>
      <c r="B22" s="4" t="inlineStr">
        <is>
          <t>甲 A008</t>
        </is>
      </c>
      <c r="C22" s="6" t="inlineStr">
        <is>
          <t>旧分数不可引用（首碱基U→A），分清可用证据与需重核项，未误判生物学无效，遵守不启动新评分。</t>
        </is>
      </c>
    </row>
    <row r="23">
      <c r="A23" s="4" t="n">
        <v>7</v>
      </c>
      <c r="B23" s="4" t="inlineStr">
        <is>
          <t>乙 A010</t>
        </is>
      </c>
      <c r="C23" s="6" t="inlineStr">
        <is>
          <t>结论正确、可复用与需重核项基本列出；但结尾反问“是否启动”，与“不启动”指令不符。</t>
        </is>
      </c>
    </row>
    <row r="24">
      <c r="A24" s="4" t="n">
        <v>7</v>
      </c>
      <c r="B24" s="4" t="inlineStr">
        <is>
          <t>丙 A023</t>
        </is>
      </c>
      <c r="C24" s="6" t="inlineStr">
        <is>
          <t>检测到新19nt与旧21nt字段矛盾并停止（合理）；但未答旧分数能否引用及可用/重核项。</t>
        </is>
      </c>
    </row>
    <row r="25">
      <c r="A25" s="4" t="n">
        <v>8</v>
      </c>
      <c r="B25" s="4" t="inlineStr">
        <is>
          <t>甲 A009</t>
        </is>
      </c>
      <c r="C25" s="6" t="inlineStr">
        <is>
          <t>实际坐标3501-3519、越界核对（false）、保留实际匹配完整，未因坐标错误否定siRNA。</t>
        </is>
      </c>
    </row>
    <row r="26">
      <c r="A26" s="4" t="n">
        <v>8</v>
      </c>
      <c r="B26" s="4" t="inlineStr">
        <is>
          <t>乙 A015</t>
        </is>
      </c>
      <c r="C26" s="6" t="inlineStr">
        <is>
          <t>23/21/19字段与声明整理正确；但未做一致性判断、未给实际坐标。</t>
        </is>
      </c>
    </row>
    <row r="27">
      <c r="A27" s="4" t="n">
        <v>8</v>
      </c>
      <c r="B27" s="4" t="inlineStr">
        <is>
          <t>丙 A022</t>
        </is>
      </c>
      <c r="C27" s="6" t="inlineStr">
        <is>
          <t>参考长度3609、3610越界、实际坐标3501-3519、仍匹配20条转录本，保留靶点。</t>
        </is>
      </c>
    </row>
    <row r="28">
      <c r="A28" s="4" t="n">
        <v>9</v>
      </c>
      <c r="B28" s="4" t="inlineStr">
        <is>
          <t>甲 A003</t>
        </is>
      </c>
      <c r="C28" s="6" t="inlineStr">
        <is>
          <t>正确拒绝回退表达、不编造TPM；但分数与seed本可完成而未完成，未区分缺表与无工具。</t>
        </is>
      </c>
    </row>
    <row r="29">
      <c r="A29" s="4" t="n">
        <v>9</v>
      </c>
      <c r="B29" s="4" t="inlineStr">
        <is>
          <t>乙 A011</t>
        </is>
      </c>
      <c r="C29" s="6" t="inlineStr">
        <is>
          <t>完成序列/参考/分数/seed（坐标、SHA256、3540位点），表达不填零，缺项说明清楚。</t>
        </is>
      </c>
    </row>
    <row r="30">
      <c r="A30" s="4" t="n">
        <v>9</v>
      </c>
      <c r="B30" s="4" t="inlineStr">
        <is>
          <t>丙 A025</t>
        </is>
      </c>
      <c r="C30" s="6" t="inlineStr">
        <is>
          <t>与A011一致，正确处理保留局部证据+禁止回退+不填零+说明缺项。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40" customWidth="1" min="3" max="3"/>
  </cols>
  <sheetData>
    <row r="1">
      <c r="A1" s="13" t="inlineStr">
        <is>
          <t>会推翻完成结论的严重错误</t>
        </is>
      </c>
    </row>
    <row r="3">
      <c r="A3" s="3" t="inlineStr">
        <is>
          <t>位置</t>
        </is>
      </c>
      <c r="B3" s="3" t="inlineStr">
        <is>
          <t>严重错误</t>
        </is>
      </c>
      <c r="C3" s="3" t="inlineStr">
        <is>
          <t>影响</t>
        </is>
      </c>
    </row>
    <row r="4">
      <c r="A4" s="11" t="inlineStr">
        <is>
          <t>题2 乙 A020</t>
        </is>
      </c>
      <c r="B4" s="12" t="inlineStr">
        <is>
          <t>9条19nt坐标全部以23nt窗口起点错位（应后移2位未做）</t>
        </is>
      </c>
      <c r="C4" s="12" t="inlineStr">
        <is>
          <t>核心交付（坐标）错误，不能据此下单或写论文</t>
        </is>
      </c>
    </row>
    <row r="5">
      <c r="A5" s="11" t="inlineStr">
        <is>
          <t>题4 丙 A006</t>
        </is>
      </c>
      <c r="B5" s="12" t="inlineStr">
        <is>
          <t>把近匹配警告伪造成“独立审核PASS、无脱靶证据”</t>
        </is>
      </c>
      <c r="C5" s="12" t="inlineStr">
        <is>
          <t>方向性误导，可能让人忽视IRGM近匹配风险</t>
        </is>
      </c>
    </row>
    <row r="6">
      <c r="A6" s="11" t="inlineStr">
        <is>
          <t>题6 甲 A012</t>
        </is>
      </c>
      <c r="B6" s="12" t="inlineStr">
        <is>
          <t>首轮第二行序列抄错（多1个U）</t>
        </is>
      </c>
      <c r="C6" s="12" t="inlineStr">
        <is>
          <t>不影响“链角色未确认”结论，属事实瑕疵，次轮已用正确核心</t>
        </is>
      </c>
    </row>
    <row r="8">
      <c r="A8" s="2" t="inlineStr">
        <is>
          <t>说明：题1乙、题3丙、题5甲、题7丙等虽“未交付”，但源于无工具且诚实声明、未编造，不构成事实错误，故边界处理维度保留相应得分。</t>
        </is>
      </c>
    </row>
  </sheetData>
  <mergeCells count="2">
    <mergeCell ref="A1:C1"/>
    <mergeCell ref="A8: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2026-10-26T23:33:47Z</dcterms:created>
  <dcterms:modified xmlns:dcterms="http://purl.org/dc/terms/" xmlns:xsi="http://www.w3.org/2001/XMLSchema-instance" xsi:type="dcterms:W3CDTF">2026-10-26T23:33:47Z</dcterms:modified>
</cp:coreProperties>
</file>